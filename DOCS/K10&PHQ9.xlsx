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10_primer filtro" sheetId="1" r:id="rId5"/>
    <sheet state="visible" name="PHQ9_segundo filtro" sheetId="2" r:id="rId6"/>
  </sheets>
  <definedNames/>
  <calcPr/>
</workbook>
</file>

<file path=xl/sharedStrings.xml><?xml version="1.0" encoding="utf-8"?>
<sst xmlns="http://schemas.openxmlformats.org/spreadsheetml/2006/main" count="71" uniqueCount="65">
  <si>
    <t>PRUEBA DE MALESTAR PSICOLÓGICO DE KESSLER (K10)</t>
  </si>
  <si>
    <t xml:space="preserve">Instrucciones: Preguntar si en el último mes la persona ha pasado por alguna de las siguientes situaciones, debe marcar la opción que mejor se adecue a su situación actual en una escala. Luego debe calcular un puntaje para saber que tan grave es la situación. </t>
  </si>
  <si>
    <t xml:space="preserve">Preguntas de la escala de malestar psicológico de KESSLER. </t>
  </si>
  <si>
    <t>Nunca (1)</t>
  </si>
  <si>
    <t>Pocas veces (2)</t>
  </si>
  <si>
    <t>A veces (3)</t>
  </si>
  <si>
    <t>Muchas veces (4)</t>
  </si>
  <si>
    <t>Siempre (5)</t>
  </si>
  <si>
    <t>1. ¿Con qué frecuencia te has sentido cansado, sin alguna buena razón?</t>
  </si>
  <si>
    <t>2. ¿Con qué frecuencia te has sentido nervioso?</t>
  </si>
  <si>
    <t>3. ¿Con qué frecuencia te has sentido tan nervioso que nada te podía calmar?</t>
  </si>
  <si>
    <t>4. ¿Con qué frecuencia te has sentido desesperado?</t>
  </si>
  <si>
    <t>5. ¿Con qué frecuencia te has sentido inquieto o intranquilo?</t>
  </si>
  <si>
    <t>6. ¿Con qué frecuencia te has sentido tan impaciente que no has podido mantenerte quieto?</t>
  </si>
  <si>
    <t>7. ¿Con qué frecuencia te has sentido deprimido?</t>
  </si>
  <si>
    <t>8. ¿Con qué frecuencia has sentido que todo lo que haces representa un gran esfuerzo?</t>
  </si>
  <si>
    <t>9. ¿Con qué frecuencia te has sentido tan triste que nada podía animarte?</t>
  </si>
  <si>
    <t>10. ¿Con qué frecuencia te has sentido un inútil?</t>
  </si>
  <si>
    <t xml:space="preserve">Diferenciar casos entre GRAVES y NO GRAVES: Al finalizar el cuestionario, se debe calcular un número entre 10 (mínimo) y 50 (máximo) que corresponde a la calificación del cuestionario. Donde las calificaciones darán los siguientes rangos estrictos: </t>
  </si>
  <si>
    <t>Rango de puntuación</t>
  </si>
  <si>
    <t>Calificación K10</t>
  </si>
  <si>
    <t>Diagnóstico automático</t>
  </si>
  <si>
    <t>10 a 19</t>
  </si>
  <si>
    <t>Baja</t>
  </si>
  <si>
    <t xml:space="preserve">Se encuentra bien, pasa por un mal momento, eso es todo. Se le conduce a las soluciones en redes sociales y se le brinda información sobre programas sociales mediante los cuales puede ocupar su mente y su tiempo. </t>
  </si>
  <si>
    <t>20 a 24</t>
  </si>
  <si>
    <t>Moderado</t>
  </si>
  <si>
    <t xml:space="preserve">Tiene un riesgo controlado de depresión o ansiedad, se le brinda la misma información que el rango anterior (10-19 puntos) y se le pregunta si desea dejar datos para que nos comuniquemos posteriormente. </t>
  </si>
  <si>
    <t>25 a 29</t>
  </si>
  <si>
    <t>Alto</t>
  </si>
  <si>
    <t>El riesgo es considerable en este punto, debemos conocer la intensidad del malestar. Se canaliza al cuestionario PHQ-9. Se le trata con amabilidad extrema.</t>
  </si>
  <si>
    <t>30 a 50</t>
  </si>
  <si>
    <t>Muy Alto</t>
  </si>
  <si>
    <t xml:space="preserve">El riesgo es inminente, debe ser tratado con la mayor delicadeza, se le turna al cuestionario PHQ-9 y se informa línea de la vida del caso. </t>
  </si>
  <si>
    <t xml:space="preserve">Instrucciones: Preguntar si durante las últimas dos semanas la persona ha pasado por alguna de las siguientes situaciones, debe marcar la opción que mejor se adecue a su situación actual en una escala. Luego debe calcular un puntaje para saber que tan urgente es la situación. </t>
  </si>
  <si>
    <t>Pregunta</t>
  </si>
  <si>
    <t>Ningún día (0)</t>
  </si>
  <si>
    <t>Varios días (1)</t>
  </si>
  <si>
    <t>Más de la mitad de los días (2)</t>
  </si>
  <si>
    <t>Casi todos los días (3)</t>
  </si>
  <si>
    <t>1. Poco interés o placer en hacer cosas</t>
  </si>
  <si>
    <t>2. Se ha sentido decaído(a), deprimido(a) o sin esperanzas</t>
  </si>
  <si>
    <t>3. Ha tenido dificultad para quedarse o permanecer dormido(a), o ha dormido demasiado</t>
  </si>
  <si>
    <t>4. Se ha sentido cansado(a) o con poca energía</t>
  </si>
  <si>
    <t>5. Sin apetito o ha comido en exceso</t>
  </si>
  <si>
    <t>6. Se ha sentido mal con usted mismo(a) – o que es un fracaso o que ha quedado mal con usted mismo(a) o con su familia</t>
  </si>
  <si>
    <t>7. Ha tenido dificultad para concentrarse en ciertas actividades, tales como leer el periódico o ver la televisión</t>
  </si>
  <si>
    <t>8. ¿Se ha movido o hablado tan lento que otras personas podrían haberlo notado? o lo contrario – muy inquieto(a) o agitado(a) que ha estado moviéndose mucho más de lo normal</t>
  </si>
  <si>
    <t>9. Pensamientos de que estaría mejor muerto(a) o de lastimarse de alguna manera</t>
  </si>
  <si>
    <t>SEVERO 3</t>
  </si>
  <si>
    <t xml:space="preserve">Diferenciar casos entre URGENTES POR SER SEVEROS y NO URGENTES O MÍNIMOS: Al finalizar el cuestionario, se debe calcular un numero entre 0 (mínimo) y 29 (máximo) que corresponde a la calificación del cuestionario. Solo el pensamiento de deseo de muerte (pregunta 9) debe bastar para que quien responde sea considerado SEVERO 3 pero no se le debe informar al que contesta el cuestionario, el debe verlo igual que el resto de las preguntas. Donde las calificaciones darán los siguientes rangos estrictos: </t>
  </si>
  <si>
    <t>Calificación PHQ 9</t>
  </si>
  <si>
    <t>0 a 4</t>
  </si>
  <si>
    <t>Mínimo o ausente</t>
  </si>
  <si>
    <t xml:space="preserve">Re evaluación, pedir datos de contacto para seguimiento de forma amable. </t>
  </si>
  <si>
    <t>5 a 9</t>
  </si>
  <si>
    <t>Leve</t>
  </si>
  <si>
    <t>10 a 14</t>
  </si>
  <si>
    <t>Se debe turnar a terapeuta especialista mediante línea de la vida, marcado como SEVERIDAD 1</t>
  </si>
  <si>
    <t>15 a 19</t>
  </si>
  <si>
    <t>Considerable</t>
  </si>
  <si>
    <t>Se debe turnar a terapeuta especialista mediante línea de la vida, marcado como SEVERIDAD 2</t>
  </si>
  <si>
    <t>20 a 27</t>
  </si>
  <si>
    <t>Grave y severo</t>
  </si>
  <si>
    <t>Se debe turnar a terapeuta especialista mediante línea de la vida, marcado como SEVERIDAD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</si>
</sst>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color theme="1"/>
      <name val="Arial"/>
      <scheme val="minor"/>
    </font>
    <font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0" xfId="0" applyFont="1"/>
    <xf borderId="0" fillId="0" fontId="4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88"/>
    <col customWidth="1" min="2" max="2" width="13.0"/>
    <col customWidth="1" min="3" max="3" width="12.25"/>
    <col customWidth="1" min="5" max="5" width="13.88"/>
    <col customWidth="1" min="6" max="6" width="9.63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>
      <c r="A4" s="3" t="s">
        <v>8</v>
      </c>
      <c r="B4" s="3">
        <v>1.0</v>
      </c>
      <c r="C4" s="3">
        <v>2.0</v>
      </c>
      <c r="D4" s="3">
        <v>3.0</v>
      </c>
      <c r="E4" s="3">
        <v>4.0</v>
      </c>
      <c r="F4" s="3">
        <v>5.0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9</v>
      </c>
      <c r="B5" s="3">
        <v>1.0</v>
      </c>
      <c r="C5" s="3">
        <v>2.0</v>
      </c>
      <c r="D5" s="3">
        <v>3.0</v>
      </c>
      <c r="E5" s="3">
        <v>4.0</v>
      </c>
      <c r="F5" s="3">
        <v>5.0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10</v>
      </c>
      <c r="B6" s="3">
        <v>1.0</v>
      </c>
      <c r="C6" s="3">
        <v>2.0</v>
      </c>
      <c r="D6" s="3">
        <v>3.0</v>
      </c>
      <c r="E6" s="3">
        <v>4.0</v>
      </c>
      <c r="F6" s="3">
        <v>5.0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11</v>
      </c>
      <c r="B7" s="3">
        <v>1.0</v>
      </c>
      <c r="C7" s="3">
        <v>2.0</v>
      </c>
      <c r="D7" s="3">
        <v>3.0</v>
      </c>
      <c r="E7" s="3">
        <v>4.0</v>
      </c>
      <c r="F7" s="3">
        <v>5.0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12</v>
      </c>
      <c r="B8" s="3">
        <v>1.0</v>
      </c>
      <c r="C8" s="3">
        <v>2.0</v>
      </c>
      <c r="D8" s="3">
        <v>3.0</v>
      </c>
      <c r="E8" s="3">
        <v>4.0</v>
      </c>
      <c r="F8" s="3">
        <v>5.0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13</v>
      </c>
      <c r="B9" s="3">
        <v>1.0</v>
      </c>
      <c r="C9" s="3">
        <v>2.0</v>
      </c>
      <c r="D9" s="3">
        <v>3.0</v>
      </c>
      <c r="E9" s="3">
        <v>4.0</v>
      </c>
      <c r="F9" s="3">
        <v>5.0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14</v>
      </c>
      <c r="B10" s="3">
        <v>1.0</v>
      </c>
      <c r="C10" s="3">
        <v>2.0</v>
      </c>
      <c r="D10" s="3">
        <v>3.0</v>
      </c>
      <c r="E10" s="1">
        <v>4.0</v>
      </c>
      <c r="F10" s="3">
        <v>5.0</v>
      </c>
      <c r="I10" s="3"/>
    </row>
    <row r="11">
      <c r="A11" s="3" t="s">
        <v>15</v>
      </c>
      <c r="B11" s="3">
        <v>1.0</v>
      </c>
      <c r="C11" s="3">
        <v>2.0</v>
      </c>
      <c r="D11" s="3">
        <v>3.0</v>
      </c>
      <c r="E11" s="3">
        <v>4.0</v>
      </c>
      <c r="F11" s="3">
        <v>5.0</v>
      </c>
    </row>
    <row r="12">
      <c r="A12" s="3" t="s">
        <v>16</v>
      </c>
      <c r="B12" s="3">
        <v>1.0</v>
      </c>
      <c r="C12" s="3">
        <v>2.0</v>
      </c>
      <c r="D12" s="3">
        <v>3.0</v>
      </c>
      <c r="E12" s="3">
        <v>4.0</v>
      </c>
      <c r="F12" s="3">
        <v>5.0</v>
      </c>
    </row>
    <row r="13">
      <c r="A13" s="3" t="s">
        <v>17</v>
      </c>
      <c r="B13" s="3">
        <v>1.0</v>
      </c>
      <c r="C13" s="3">
        <v>2.0</v>
      </c>
      <c r="D13" s="3">
        <v>3.0</v>
      </c>
      <c r="E13" s="3">
        <v>4.0</v>
      </c>
      <c r="F13" s="3">
        <v>5.0</v>
      </c>
    </row>
    <row r="14">
      <c r="B14" s="5">
        <f t="shared" ref="B14:F14" si="1">SUM(B4:B13)</f>
        <v>10</v>
      </c>
      <c r="C14" s="5">
        <f t="shared" si="1"/>
        <v>20</v>
      </c>
      <c r="D14" s="5">
        <f t="shared" si="1"/>
        <v>30</v>
      </c>
      <c r="E14" s="5">
        <f t="shared" si="1"/>
        <v>40</v>
      </c>
      <c r="F14" s="5">
        <f t="shared" si="1"/>
        <v>50</v>
      </c>
    </row>
    <row r="17">
      <c r="A17" s="6" t="s">
        <v>18</v>
      </c>
    </row>
    <row r="18">
      <c r="A18" s="7" t="s">
        <v>19</v>
      </c>
      <c r="B18" s="7" t="s">
        <v>20</v>
      </c>
      <c r="C18" s="7" t="s">
        <v>21</v>
      </c>
    </row>
    <row r="19">
      <c r="A19" s="7" t="s">
        <v>22</v>
      </c>
      <c r="B19" s="7" t="s">
        <v>23</v>
      </c>
      <c r="C19" s="7" t="s">
        <v>24</v>
      </c>
    </row>
    <row r="20">
      <c r="A20" s="7" t="s">
        <v>25</v>
      </c>
      <c r="B20" s="7" t="s">
        <v>26</v>
      </c>
      <c r="C20" s="7" t="s">
        <v>27</v>
      </c>
    </row>
    <row r="21">
      <c r="A21" s="7" t="s">
        <v>28</v>
      </c>
      <c r="B21" s="7" t="s">
        <v>29</v>
      </c>
      <c r="C21" s="7" t="s">
        <v>30</v>
      </c>
    </row>
    <row r="22">
      <c r="A22" s="7" t="s">
        <v>31</v>
      </c>
      <c r="B22" s="7" t="s">
        <v>32</v>
      </c>
      <c r="C22" s="7" t="s">
        <v>33</v>
      </c>
    </row>
  </sheetData>
  <mergeCells count="2">
    <mergeCell ref="A2:F2"/>
    <mergeCell ref="A17:F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1.13"/>
  </cols>
  <sheetData>
    <row r="2">
      <c r="A2" s="2" t="s">
        <v>34</v>
      </c>
    </row>
    <row r="3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</row>
    <row r="4">
      <c r="A4" s="3" t="s">
        <v>40</v>
      </c>
      <c r="B4" s="3">
        <v>0.0</v>
      </c>
      <c r="C4" s="3">
        <v>1.0</v>
      </c>
      <c r="D4" s="3">
        <v>2.0</v>
      </c>
      <c r="E4" s="3">
        <v>3.0</v>
      </c>
    </row>
    <row r="5">
      <c r="A5" s="3" t="s">
        <v>41</v>
      </c>
      <c r="B5" s="3">
        <v>0.0</v>
      </c>
      <c r="C5" s="3">
        <v>1.0</v>
      </c>
      <c r="D5" s="3">
        <v>2.0</v>
      </c>
      <c r="E5" s="3">
        <v>3.0</v>
      </c>
    </row>
    <row r="6">
      <c r="A6" s="3" t="s">
        <v>42</v>
      </c>
      <c r="B6" s="3">
        <v>0.0</v>
      </c>
      <c r="C6" s="3">
        <v>1.0</v>
      </c>
      <c r="D6" s="3">
        <v>2.0</v>
      </c>
      <c r="E6" s="3">
        <v>3.0</v>
      </c>
    </row>
    <row r="7">
      <c r="A7" s="3" t="s">
        <v>43</v>
      </c>
      <c r="B7" s="3">
        <v>0.0</v>
      </c>
      <c r="C7" s="3">
        <v>1.0</v>
      </c>
      <c r="D7" s="3">
        <v>2.0</v>
      </c>
      <c r="E7" s="3">
        <v>3.0</v>
      </c>
    </row>
    <row r="8">
      <c r="A8" s="3" t="s">
        <v>44</v>
      </c>
      <c r="B8" s="3">
        <v>0.0</v>
      </c>
      <c r="C8" s="3">
        <v>1.0</v>
      </c>
      <c r="D8" s="3">
        <v>2.0</v>
      </c>
      <c r="E8" s="3">
        <v>3.0</v>
      </c>
    </row>
    <row r="9">
      <c r="A9" s="3" t="s">
        <v>45</v>
      </c>
      <c r="B9" s="3">
        <v>0.0</v>
      </c>
      <c r="C9" s="3">
        <v>1.0</v>
      </c>
      <c r="D9" s="3">
        <v>2.0</v>
      </c>
      <c r="E9" s="3">
        <v>3.0</v>
      </c>
    </row>
    <row r="10">
      <c r="A10" s="3" t="s">
        <v>46</v>
      </c>
      <c r="B10" s="3">
        <v>0.0</v>
      </c>
      <c r="C10" s="3">
        <v>1.0</v>
      </c>
      <c r="D10" s="3">
        <v>2.0</v>
      </c>
      <c r="E10" s="3">
        <v>3.0</v>
      </c>
    </row>
    <row r="11">
      <c r="A11" s="3" t="s">
        <v>47</v>
      </c>
      <c r="B11" s="3">
        <v>0.0</v>
      </c>
      <c r="C11" s="3">
        <v>1.0</v>
      </c>
      <c r="D11" s="3">
        <v>2.0</v>
      </c>
      <c r="E11" s="3">
        <v>3.0</v>
      </c>
    </row>
    <row r="12">
      <c r="A12" s="3" t="s">
        <v>48</v>
      </c>
      <c r="B12" s="8">
        <v>0.0</v>
      </c>
      <c r="C12" s="8" t="s">
        <v>49</v>
      </c>
      <c r="D12" s="8" t="s">
        <v>49</v>
      </c>
      <c r="E12" s="8" t="s">
        <v>49</v>
      </c>
    </row>
    <row r="13">
      <c r="B13" s="5">
        <f t="shared" ref="B13:E13" si="1">SUM(B4:B12)</f>
        <v>0</v>
      </c>
      <c r="C13" s="5">
        <f t="shared" si="1"/>
        <v>8</v>
      </c>
      <c r="D13" s="5">
        <f t="shared" si="1"/>
        <v>16</v>
      </c>
      <c r="E13" s="5">
        <f t="shared" si="1"/>
        <v>24</v>
      </c>
    </row>
    <row r="17">
      <c r="A17" s="6" t="s">
        <v>50</v>
      </c>
    </row>
    <row r="18">
      <c r="A18" s="7" t="s">
        <v>19</v>
      </c>
      <c r="B18" s="7" t="s">
        <v>51</v>
      </c>
      <c r="C18" s="7" t="s">
        <v>21</v>
      </c>
    </row>
    <row r="19">
      <c r="A19" s="1" t="s">
        <v>52</v>
      </c>
      <c r="B19" s="1" t="s">
        <v>53</v>
      </c>
      <c r="C19" s="1" t="s">
        <v>54</v>
      </c>
    </row>
    <row r="20">
      <c r="A20" s="1" t="s">
        <v>55</v>
      </c>
      <c r="B20" s="1" t="s">
        <v>56</v>
      </c>
      <c r="C20" s="1" t="s">
        <v>54</v>
      </c>
    </row>
    <row r="21">
      <c r="A21" s="1" t="s">
        <v>57</v>
      </c>
      <c r="B21" s="1" t="s">
        <v>26</v>
      </c>
      <c r="C21" s="1" t="s">
        <v>58</v>
      </c>
    </row>
    <row r="22">
      <c r="A22" s="1" t="s">
        <v>59</v>
      </c>
      <c r="B22" s="1" t="s">
        <v>60</v>
      </c>
      <c r="C22" s="1" t="s">
        <v>61</v>
      </c>
    </row>
    <row r="23">
      <c r="A23" s="1" t="s">
        <v>62</v>
      </c>
      <c r="B23" s="1" t="s">
        <v>63</v>
      </c>
      <c r="C23" s="1" t="s">
        <v>64</v>
      </c>
    </row>
  </sheetData>
  <mergeCells count="2">
    <mergeCell ref="A2:F2"/>
    <mergeCell ref="A17:F17"/>
  </mergeCells>
  <drawing r:id="rId1"/>
</worksheet>
</file>